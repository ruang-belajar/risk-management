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aramet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<sst xmlns="http://schemas.openxmlformats.org/spreadsheetml/2006/main" count="10" uniqueCount="9">
  <si>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Data</t>
  </si>
  <si>
    <t>Confidence</t>
  </si>
  <si>
    <t>Z</t>
  </si>
  <si>
    <t>Counter</t>
  </si>
  <si>
    <t>Return</t>
  </si>
  <si>
    <t>portfolio</t>
  </si>
  <si>
    <t>Volatility</t>
  </si>
  <si>
    <t>VaR</t>
  </si>
  <si>
    <t>Interpretasi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</si>
</sst>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.000%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10" fontId="0" fillId="0" borderId="0" xfId="3" applyNumberFormat="1" applyAlignment="1">
      <alignment vertical="center"/>
    </xf>
    <xf numFmtId="9" fontId="0" fillId="2" borderId="0" xfId="0" applyNumberFormat="1" applyFill="1" applyAlignment="1">
      <alignment vertical="center"/>
    </xf>
    <xf numFmtId="0" fontId="1" fillId="0" borderId="0" xfId="0" applyFont="1" applyAlignment="1">
      <alignment vertical="center"/>
    </xf>
    <xf numFmtId="178" fontId="0" fillId="0" borderId="0" xfId="1" applyNumberFormat="1" applyAlignment="1">
      <alignment vertical="center"/>
    </xf>
    <xf numFmtId="0" fontId="0" fillId="2" borderId="0" xfId="0" applyFill="1" applyAlignment="1">
      <alignment vertical="center"/>
    </xf>
    <xf numFmtId="179" fontId="0" fillId="0" borderId="0" xfId="3" applyNumberFormat="1">
      <alignment vertical="center"/>
    </xf>
    <xf numFmtId="10" fontId="1" fillId="0" borderId="0" xfId="3" applyNumberFormat="1" applyFont="1" applyAlignment="1">
      <alignment vertical="center"/>
    </xf>
    <xf numFmtId="176" fontId="0" fillId="0" borderId="0" xfId="1" applyAlignment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C7" sqref="C7"/>
    </sheetView>
  </sheetViews>
  <sheetFormatPr defaultColWidth="9.14285714285714" defaultRowHeight="15"/>
  <cols>
    <col min="3" max="4" width="14"/>
    <col min="5" max="5" width="12.8571428571429"/>
    <col min="6" max="6" width="14.8571428571429" customWidth="1"/>
    <col min="9" max="9" width="12.8571428571429"/>
  </cols>
  <sheetData>
    <row r="1" spans="1:9">
      <c r="A1" s="1" t="s">
        <v>0</v>
      </c>
      <c r="B1" s="1"/>
      <c r="C1" s="1"/>
      <c r="D1" s="1"/>
      <c r="E1" s="2" t="s">
        <v>1</v>
      </c>
      <c r="F1" s="3">
        <v>0.99</v>
      </c>
      <c r="H1" t="s">
        <v>2</v>
      </c>
      <c r="I1">
        <f>_xlfn.NORM.S.INV(F1)</f>
        <v>2.32634787404084</v>
      </c>
    </row>
    <row r="2" spans="1:6">
      <c r="A2" s="4" t="s">
        <v>3</v>
      </c>
      <c r="B2" s="4" t="s">
        <v>0</v>
      </c>
      <c r="C2" s="4" t="s">
        <v>4</v>
      </c>
      <c r="D2" s="1"/>
      <c r="E2" s="2" t="s">
        <v>5</v>
      </c>
      <c r="F2" s="5">
        <v>20000000</v>
      </c>
    </row>
    <row r="3" spans="1:7">
      <c r="A3" s="6">
        <v>1</v>
      </c>
      <c r="B3" s="6">
        <v>1000</v>
      </c>
      <c r="C3" s="6"/>
      <c r="D3" s="1"/>
      <c r="E3" s="2" t="s">
        <v>6</v>
      </c>
      <c r="F3" s="1">
        <f>_xlfn.STDEV.S(C4:C22)</f>
        <v>0.0171864060770986</v>
      </c>
      <c r="G3" s="7">
        <f>_xlfn.STDEV.S(C3:C12)</f>
        <v>0.0171864060770986</v>
      </c>
    </row>
    <row r="4" spans="1:6">
      <c r="A4" s="6">
        <v>2</v>
      </c>
      <c r="B4" s="6">
        <v>1020</v>
      </c>
      <c r="C4" s="6">
        <f t="shared" ref="C4:C8" si="0">(B4-B3)/B3</f>
        <v>0.02</v>
      </c>
      <c r="D4" s="1"/>
      <c r="E4" s="2"/>
      <c r="F4" s="1"/>
    </row>
    <row r="5" spans="1:6">
      <c r="A5" s="6">
        <v>3</v>
      </c>
      <c r="B5" s="6">
        <v>1010</v>
      </c>
      <c r="C5" s="6">
        <f t="shared" si="0"/>
        <v>-0.00980392156862745</v>
      </c>
      <c r="D5" s="1"/>
      <c r="E5" s="8" t="s">
        <v>7</v>
      </c>
      <c r="F5" s="9">
        <f>I1*G3*F2</f>
        <v>799631.184797217</v>
      </c>
    </row>
    <row r="6" spans="1:4">
      <c r="A6" s="10">
        <v>4</v>
      </c>
      <c r="B6" s="10">
        <v>1035</v>
      </c>
      <c r="C6" s="6">
        <f t="shared" si="0"/>
        <v>0.0247524752475248</v>
      </c>
      <c r="D6" s="1"/>
    </row>
    <row r="7" spans="1:5">
      <c r="A7" s="10">
        <v>5</v>
      </c>
      <c r="B7" s="10">
        <v>1025</v>
      </c>
      <c r="C7" s="6">
        <f t="shared" si="0"/>
        <v>-0.00966183574879227</v>
      </c>
      <c r="D7" s="1"/>
      <c r="E7" s="11" t="s">
        <v>8</v>
      </c>
    </row>
    <row r="8" spans="1:5">
      <c r="A8" s="10">
        <v>6</v>
      </c>
      <c r="B8" s="10">
        <v>1045</v>
      </c>
      <c r="C8" s="6">
        <f t="shared" si="0"/>
        <v>0.0195121951219512</v>
      </c>
      <c r="E8" s="1" t="str">
        <f>"Dengan keyakinan "&amp;(F1*100)&amp;"%, kerugian harian akibat fluktuasi pendapatan cloud service tidak akan melebihi Rp "&amp;F5&amp;"
Namun, "&amp;((1-F1)*100)&amp;"% kerugian akan lebih besar dari itu."</f>
        <v>Dengan keyakinan 99%, kerugian harian akibat fluktuasi pendapatan cloud service tidak akan melebihi Rp 799631.184797217
Namun, 1% kerugian akan lebih besar dari itu.</v>
      </c>
    </row>
    <row r="9" spans="1:3">
      <c r="A9" s="10"/>
      <c r="B9" s="10"/>
      <c r="C9" s="10"/>
    </row>
    <row r="10" spans="1:3">
      <c r="A10" s="10"/>
      <c r="B10" s="10"/>
      <c r="C10" s="10"/>
    </row>
    <row r="11" spans="1:3">
      <c r="A11" s="10"/>
      <c r="B11" s="10"/>
      <c r="C11" s="10"/>
    </row>
    <row r="12" spans="1:3">
      <c r="A12" s="10"/>
      <c r="B12" s="10"/>
      <c r="C12" s="10"/>
    </row>
    <row r="13" spans="1:3">
      <c r="A13" s="10"/>
      <c r="B13" s="10"/>
      <c r="C13" s="10"/>
    </row>
    <row r="14" spans="1:3">
      <c r="A14" s="10"/>
      <c r="B14" s="10"/>
      <c r="C14" s="10"/>
    </row>
    <row r="15" spans="1:3">
      <c r="A15" s="10"/>
      <c r="B15" s="10"/>
      <c r="C15" s="10"/>
    </row>
    <row r="16" spans="1:3">
      <c r="A16" s="10"/>
      <c r="B16" s="10"/>
      <c r="C16" s="10"/>
    </row>
    <row r="17" spans="1:3">
      <c r="A17" s="10"/>
      <c r="B17" s="10"/>
      <c r="C17" s="10"/>
    </row>
    <row r="18" spans="1:3">
      <c r="A18" s="10"/>
      <c r="B18" s="10"/>
      <c r="C18" s="10"/>
    </row>
    <row r="19" spans="1:3">
      <c r="A19" s="10"/>
      <c r="B19" s="10"/>
      <c r="C19" s="10"/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/>
      <c r="B22" s="10"/>
      <c r="C22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Parametric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 Tay</dc:creator>
  <cp:lastModifiedBy>google1585754815</cp:lastModifiedBy>
  <dcterms:created xsi:type="dcterms:W3CDTF">2025-11-11T09:05:20Z</dcterms:created>
  <dcterms:modified xsi:type="dcterms:W3CDTF">2025-11-11T10:33:54Z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7C3408F4642A4EB498724AAEDFA621DA_11</vt:lpwstr>
  </property>
  <property fmtid="{D5CDD505-2E9C-101B-9397-08002B2CF9AE}" pid="3" name="KSOProductBuildVer">
    <vt:lpwstr>1033-12.2.0.23155</vt:lpwstr>
  </property>
</Properties>
</file>