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8220" activeTab="2"/>
  </bookViews>
  <sheets>
    <sheet name="Historical" sheetId="2" r:id="rId1"/>
    <sheet name="Parametric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<sst xmlns="http://schemas.openxmlformats.org/spreadsheetml/2006/main" count="49" uniqueCount="28">
  <si>
    <t>Data</t>
  </si>
  <si>
    <t>Sorted</t>
  </si>
  <si>
    <t>Hari</t>
  </si>
  <si>
    <t>Hasil</t>
  </si>
  <si>
    <t>Selisih</t>
  </si>
  <si>
    <t>Return (%)</t>
  </si>
  <si>
    <t>Data Sorted</t>
  </si>
  <si>
    <t>Value</t>
  </si>
  <si>
    <t>Count</t>
  </si>
  <si>
    <t>Confidence</t>
  </si>
  <si>
    <t>index pick</t>
  </si>
  <si>
    <t>Max</t>
  </si>
  <si>
    <t>Interpretasi:</t>
  </si>
  <si>
    <t>Z</t>
  </si>
  <si>
    <t>Counter</t>
  </si>
  <si>
    <t>Return</t>
  </si>
  <si>
    <t>portfolio</t>
  </si>
  <si>
    <t>Volatility</t>
  </si>
  <si>
    <t>VaR</t>
  </si>
  <si>
    <t>Interpretasi</t>
  </si>
  <si>
    <t>Hari Ke-</t>
  </si>
  <si>
    <t>Pendapatan Harian</t>
  </si>
  <si>
    <t>Perubahan Persentase ()</t>
  </si>
  <si>
    <t>P&amp;L ()</t>
  </si>
  <si>
    <t>Keterangan</t>
  </si>
  <si>
    <t>Keuntungan</t>
  </si>
  <si>
    <t>Kerugian</t>
  </si>
  <si>
    <t>Kerugian Terbesar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</si>
</sst>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 * #,##0_ ;_ * \-#,##0_ ;_ * &quot;-&quot;??_ ;_ @_ "/>
    <numFmt numFmtId="181" formatCode="0.000%"/>
    <numFmt numFmtId="182" formatCode="0.0%"/>
  </numFmts>
  <fonts count="23">
    <font>
      <sz val="11"/>
      <color theme="1"/>
      <name val="Calibri"/>
      <charset val="134"/>
      <scheme val="minor"/>
    </font>
    <font>
      <b/>
      <sz val="11"/>
      <color rgb="FF1B1C1D"/>
      <name val="Arial"/>
      <charset val="134"/>
    </font>
    <font>
      <sz val="11"/>
      <color rgb="FF1B1C1D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10" fontId="0" fillId="0" borderId="0" xfId="3" applyNumberFormat="1" applyAlignment="1">
      <alignment vertical="center"/>
    </xf>
    <xf numFmtId="9" fontId="0" fillId="2" borderId="0" xfId="0" applyNumberFormat="1" applyFill="1" applyAlignment="1">
      <alignment vertical="center"/>
    </xf>
    <xf numFmtId="0" fontId="3" fillId="0" borderId="0" xfId="0" applyFont="1" applyAlignment="1">
      <alignment vertical="center"/>
    </xf>
    <xf numFmtId="180" fontId="0" fillId="0" borderId="0" xfId="1" applyNumberFormat="1" applyAlignment="1">
      <alignment vertical="center"/>
    </xf>
    <xf numFmtId="0" fontId="0" fillId="2" borderId="0" xfId="0" applyFill="1" applyAlignment="1">
      <alignment vertical="center"/>
    </xf>
    <xf numFmtId="181" fontId="0" fillId="0" borderId="0" xfId="3" applyNumberFormat="1">
      <alignment vertical="center"/>
    </xf>
    <xf numFmtId="10" fontId="3" fillId="0" borderId="0" xfId="3" applyNumberFormat="1" applyFont="1" applyAlignment="1">
      <alignment vertical="center"/>
    </xf>
    <xf numFmtId="176" fontId="0" fillId="0" borderId="0" xfId="1" applyAlignme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182" fontId="0" fillId="3" borderId="0" xfId="3" applyNumberFormat="1" applyFill="1" applyAlignment="1">
      <alignment vertical="center" wrapText="1"/>
    </xf>
    <xf numFmtId="9" fontId="0" fillId="0" borderId="0" xfId="3" applyFill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9" fontId="0" fillId="3" borderId="0" xfId="0" applyNumberFormat="1" applyFill="1">
      <alignment vertical="center"/>
    </xf>
    <xf numFmtId="9" fontId="0" fillId="0" borderId="0" xfId="3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D5" sqref="D5"/>
    </sheetView>
  </sheetViews>
  <sheetFormatPr defaultColWidth="9.14285714285714" defaultRowHeight="15"/>
  <cols>
    <col min="4" max="4" width="14"/>
    <col min="6" max="6" width="12" customWidth="1"/>
    <col min="9" max="9" width="13.4285714285714" customWidth="1"/>
    <col min="10" max="10" width="14"/>
  </cols>
  <sheetData>
    <row r="1" spans="1:6">
      <c r="A1" t="s">
        <v>0</v>
      </c>
      <c r="F1" t="s">
        <v>1</v>
      </c>
    </row>
    <row r="2" spans="1:6">
      <c r="A2" s="15" t="s">
        <v>2</v>
      </c>
      <c r="B2" s="15" t="s">
        <v>3</v>
      </c>
      <c r="C2" s="15" t="s">
        <v>4</v>
      </c>
      <c r="D2" s="15" t="s">
        <v>5</v>
      </c>
      <c r="F2" t="s">
        <v>6</v>
      </c>
    </row>
    <row r="3" spans="1:10">
      <c r="A3" s="16">
        <v>1</v>
      </c>
      <c r="B3" s="17">
        <v>2000000</v>
      </c>
      <c r="C3" s="16"/>
      <c r="D3" s="18"/>
      <c r="F3" s="19">
        <v>-0.166666666666667</v>
      </c>
      <c r="I3" t="s">
        <v>7</v>
      </c>
      <c r="J3">
        <v>2000000</v>
      </c>
    </row>
    <row r="4" spans="1:10">
      <c r="A4" s="16">
        <v>2</v>
      </c>
      <c r="B4" s="17">
        <v>2200000</v>
      </c>
      <c r="C4" s="16">
        <f t="shared" ref="C4:C12" si="0">B4-B3</f>
        <v>200000</v>
      </c>
      <c r="D4" s="20">
        <f>(B4-B3)/B4</f>
        <v>0.0909090909090909</v>
      </c>
      <c r="F4" s="19">
        <v>-0.0681818181818182</v>
      </c>
      <c r="I4" t="s">
        <v>8</v>
      </c>
      <c r="J4">
        <f>COUNT(F3:F22)</f>
        <v>9</v>
      </c>
    </row>
    <row r="5" spans="1:11">
      <c r="A5" s="16">
        <v>3</v>
      </c>
      <c r="B5" s="17">
        <v>2100000</v>
      </c>
      <c r="C5" s="16">
        <f t="shared" si="0"/>
        <v>-100000</v>
      </c>
      <c r="D5" s="20">
        <f t="shared" ref="D5:D12" si="1">(B5-B4)/B5</f>
        <v>-0.0476190476190476</v>
      </c>
      <c r="F5" s="19">
        <v>-0.0476190476190476</v>
      </c>
      <c r="I5" t="s">
        <v>9</v>
      </c>
      <c r="J5" s="23">
        <v>0.9</v>
      </c>
      <c r="K5" s="24">
        <f>(1-J5)</f>
        <v>0.1</v>
      </c>
    </row>
    <row r="6" spans="1:10">
      <c r="A6" s="16">
        <v>4</v>
      </c>
      <c r="B6" s="17">
        <v>1800000</v>
      </c>
      <c r="C6" s="16">
        <f t="shared" si="0"/>
        <v>-300000</v>
      </c>
      <c r="D6" s="20">
        <f t="shared" si="1"/>
        <v>-0.166666666666667</v>
      </c>
      <c r="F6" s="19">
        <v>-0.0476190476190476</v>
      </c>
      <c r="I6" t="s">
        <v>10</v>
      </c>
      <c r="J6">
        <f>IF(ROUND(K5*J4,0)&lt;1,1,ROUND(K5*J4,0))</f>
        <v>1</v>
      </c>
    </row>
    <row r="7" spans="1:10">
      <c r="A7" s="16">
        <v>5</v>
      </c>
      <c r="B7" s="17">
        <v>1900000</v>
      </c>
      <c r="C7" s="16">
        <f t="shared" si="0"/>
        <v>100000</v>
      </c>
      <c r="D7" s="20">
        <f t="shared" si="1"/>
        <v>0.0526315789473684</v>
      </c>
      <c r="F7" s="19">
        <v>0.0454545454545455</v>
      </c>
      <c r="I7" t="s">
        <v>0</v>
      </c>
      <c r="J7" cm="1">
        <f t="array" ref="J7">INDEX($F$3:$F$22,J6)</f>
        <v>-0.166666666666667</v>
      </c>
    </row>
    <row r="8" spans="1:10">
      <c r="A8" s="16">
        <v>6</v>
      </c>
      <c r="B8" s="17">
        <v>2100000</v>
      </c>
      <c r="C8" s="16">
        <f t="shared" si="0"/>
        <v>200000</v>
      </c>
      <c r="D8" s="20">
        <f t="shared" si="1"/>
        <v>0.0952380952380952</v>
      </c>
      <c r="F8" s="19">
        <v>0.0526315789473684</v>
      </c>
      <c r="I8" t="s">
        <v>11</v>
      </c>
      <c r="J8">
        <f>ROUND(ABS(J7*J3),0)</f>
        <v>333333</v>
      </c>
    </row>
    <row r="9" spans="1:6">
      <c r="A9" s="16">
        <v>7</v>
      </c>
      <c r="B9" s="17">
        <v>2200000</v>
      </c>
      <c r="C9" s="16">
        <f t="shared" si="0"/>
        <v>100000</v>
      </c>
      <c r="D9" s="20">
        <f t="shared" si="1"/>
        <v>0.0454545454545455</v>
      </c>
      <c r="F9" s="19">
        <v>0.0638297872340425</v>
      </c>
    </row>
    <row r="10" spans="1:6">
      <c r="A10" s="16">
        <v>8</v>
      </c>
      <c r="B10" s="17">
        <v>2350000</v>
      </c>
      <c r="C10" s="16">
        <f t="shared" si="0"/>
        <v>150000</v>
      </c>
      <c r="D10" s="20">
        <f t="shared" si="1"/>
        <v>0.0638297872340425</v>
      </c>
      <c r="F10" s="19">
        <v>0.0909090909090909</v>
      </c>
    </row>
    <row r="11" spans="1:6">
      <c r="A11" s="16">
        <v>9</v>
      </c>
      <c r="B11" s="17">
        <v>2200000</v>
      </c>
      <c r="C11" s="16">
        <f t="shared" si="0"/>
        <v>-150000</v>
      </c>
      <c r="D11" s="20">
        <f t="shared" si="1"/>
        <v>-0.0681818181818182</v>
      </c>
      <c r="F11" s="19">
        <v>0.0952380952380952</v>
      </c>
    </row>
    <row r="12" spans="1:9">
      <c r="A12" s="16">
        <v>10</v>
      </c>
      <c r="B12" s="17">
        <v>2100000</v>
      </c>
      <c r="C12" s="16">
        <f t="shared" si="0"/>
        <v>-100000</v>
      </c>
      <c r="D12" s="20">
        <f t="shared" si="1"/>
        <v>-0.0476190476190476</v>
      </c>
      <c r="F12" s="17"/>
      <c r="I12" s="13" t="s">
        <v>12</v>
      </c>
    </row>
    <row r="13" spans="2:14">
      <c r="B13" s="21"/>
      <c r="D13" s="22"/>
      <c r="F13" s="21"/>
      <c r="I13" s="25" t="str">
        <f>"VaR harian pada tingkat kepercayaan "&amp;J5*100&amp;"% adalah "&amp;TEXT(J8,"#.#")&amp;"
Artinya, dengan keyakinan "&amp;J5*100&amp;"%, kerugian tidak akan melebihi "&amp;TEXT(J8,"#.#")&amp;" dalam 1 hari."</f>
        <v>VaR harian pada tingkat kepercayaan 90% adalah 333.333
Artinya, dengan keyakinan 90%, kerugian tidak akan melebihi 333.333 dalam 1 hari.</v>
      </c>
      <c r="J13" s="26"/>
      <c r="K13" s="26"/>
      <c r="L13" s="26"/>
      <c r="M13" s="26"/>
      <c r="N13" s="26"/>
    </row>
    <row r="14" spans="2:14">
      <c r="B14" s="21"/>
      <c r="D14" s="22"/>
      <c r="F14" s="21"/>
      <c r="I14" s="26"/>
      <c r="J14" s="26"/>
      <c r="K14" s="26"/>
      <c r="L14" s="26"/>
      <c r="M14" s="26"/>
      <c r="N14" s="26"/>
    </row>
    <row r="15" spans="2:14">
      <c r="B15" s="21"/>
      <c r="D15" s="22"/>
      <c r="F15" s="21"/>
      <c r="I15" s="26"/>
      <c r="J15" s="26"/>
      <c r="K15" s="26"/>
      <c r="L15" s="26"/>
      <c r="M15" s="26"/>
      <c r="N15" s="26"/>
    </row>
    <row r="16" spans="2:6">
      <c r="B16" s="21"/>
      <c r="D16" s="22"/>
      <c r="F16" s="21"/>
    </row>
    <row r="17" spans="2:6">
      <c r="B17" s="21"/>
      <c r="D17" s="22"/>
      <c r="F17" s="21"/>
    </row>
    <row r="18" spans="2:6">
      <c r="B18" s="21"/>
      <c r="D18" s="22"/>
      <c r="F18" s="21"/>
    </row>
    <row r="19" spans="2:6">
      <c r="B19" s="21"/>
      <c r="D19" s="22"/>
      <c r="F19" s="21"/>
    </row>
    <row r="20" spans="2:6">
      <c r="B20" s="21"/>
      <c r="D20" s="22"/>
      <c r="F20" s="21"/>
    </row>
    <row r="21" spans="2:6">
      <c r="B21" s="21"/>
      <c r="D21" s="22"/>
      <c r="F21" s="21"/>
    </row>
    <row r="22" spans="2:6">
      <c r="B22" s="21"/>
      <c r="D22" s="22"/>
      <c r="F22" s="21"/>
    </row>
  </sheetData>
  <sortState ref="F3:F11">
    <sortCondition ref="F3"/>
  </sortState>
  <mergeCells count="1">
    <mergeCell ref="I13:N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E8" sqref="E8:I10"/>
    </sheetView>
  </sheetViews>
  <sheetFormatPr defaultColWidth="9.14285714285714" defaultRowHeight="15"/>
  <cols>
    <col min="3" max="4" width="14"/>
    <col min="5" max="5" width="12.8571428571429"/>
    <col min="6" max="6" width="14.8571428571429" customWidth="1"/>
    <col min="9" max="9" width="12.8571428571429"/>
  </cols>
  <sheetData>
    <row r="1" spans="1:9">
      <c r="A1" s="3" t="s">
        <v>0</v>
      </c>
      <c r="B1" s="3"/>
      <c r="C1" s="3"/>
      <c r="D1" s="3"/>
      <c r="E1" s="4" t="s">
        <v>9</v>
      </c>
      <c r="F1" s="5">
        <v>0.99</v>
      </c>
      <c r="H1" t="s">
        <v>13</v>
      </c>
      <c r="I1">
        <f>_xlfn.NORM.S.INV(F1)</f>
        <v>2.32634787404084</v>
      </c>
    </row>
    <row r="2" spans="1:6">
      <c r="A2" s="6" t="s">
        <v>14</v>
      </c>
      <c r="B2" s="6" t="s">
        <v>0</v>
      </c>
      <c r="C2" s="6" t="s">
        <v>15</v>
      </c>
      <c r="D2" s="3"/>
      <c r="E2" s="4" t="s">
        <v>16</v>
      </c>
      <c r="F2" s="7">
        <v>20000000</v>
      </c>
    </row>
    <row r="3" spans="1:7">
      <c r="A3" s="8">
        <v>1</v>
      </c>
      <c r="B3" s="8">
        <v>1000</v>
      </c>
      <c r="C3" s="8"/>
      <c r="D3" s="3"/>
      <c r="E3" s="4" t="s">
        <v>17</v>
      </c>
      <c r="F3" s="3">
        <f>_xlfn.STDEV.S(C4:C22)</f>
        <v>0.0171864060770986</v>
      </c>
      <c r="G3" s="9">
        <f>_xlfn.STDEV.S(C3:C12)</f>
        <v>0.0171864060770986</v>
      </c>
    </row>
    <row r="4" spans="1:6">
      <c r="A4" s="8">
        <v>2</v>
      </c>
      <c r="B4" s="8">
        <v>1020</v>
      </c>
      <c r="C4" s="8">
        <f t="shared" ref="C4:C8" si="0">(B4-B3)/B3</f>
        <v>0.02</v>
      </c>
      <c r="D4" s="3"/>
      <c r="E4" s="4"/>
      <c r="F4" s="3"/>
    </row>
    <row r="5" spans="1:6">
      <c r="A5" s="8">
        <v>3</v>
      </c>
      <c r="B5" s="8">
        <v>1010</v>
      </c>
      <c r="C5" s="8">
        <f t="shared" si="0"/>
        <v>-0.00980392156862745</v>
      </c>
      <c r="D5" s="3"/>
      <c r="E5" s="10" t="s">
        <v>18</v>
      </c>
      <c r="F5" s="11">
        <f>I1*G3*F2</f>
        <v>799631.184797217</v>
      </c>
    </row>
    <row r="6" spans="1:4">
      <c r="A6" s="12">
        <v>4</v>
      </c>
      <c r="B6" s="12">
        <v>1035</v>
      </c>
      <c r="C6" s="8">
        <f t="shared" si="0"/>
        <v>0.0247524752475248</v>
      </c>
      <c r="D6" s="3"/>
    </row>
    <row r="7" spans="1:5">
      <c r="A7" s="12">
        <v>5</v>
      </c>
      <c r="B7" s="12">
        <v>1025</v>
      </c>
      <c r="C7" s="8">
        <f t="shared" si="0"/>
        <v>-0.00966183574879227</v>
      </c>
      <c r="D7" s="3"/>
      <c r="E7" s="13" t="s">
        <v>19</v>
      </c>
    </row>
    <row r="8" spans="1:9">
      <c r="A8" s="12">
        <v>6</v>
      </c>
      <c r="B8" s="12">
        <v>1045</v>
      </c>
      <c r="C8" s="8">
        <f t="shared" si="0"/>
        <v>0.0195121951219512</v>
      </c>
      <c r="E8" s="14" t="str">
        <f>"Dengan keyakinan "&amp;(F1*100)&amp;"%, kerugian harian akibat fluktuasi pendapatan cloud service tidak akan melebihi Rp "&amp;F5&amp;"
Namun, "&amp;((1-F1)*100)&amp;"% kerugian akan lebih besar dari itu."</f>
        <v>Dengan keyakinan 99%, kerugian harian akibat fluktuasi pendapatan cloud service tidak akan melebihi Rp 799631.184797217
Namun, 1% kerugian akan lebih besar dari itu.</v>
      </c>
      <c r="F8" s="14"/>
      <c r="G8" s="14"/>
      <c r="H8" s="14"/>
      <c r="I8" s="14"/>
    </row>
    <row r="9" spans="1:9">
      <c r="A9" s="12"/>
      <c r="B9" s="12"/>
      <c r="C9" s="12"/>
      <c r="E9" s="14"/>
      <c r="F9" s="14"/>
      <c r="G9" s="14"/>
      <c r="H9" s="14"/>
      <c r="I9" s="14"/>
    </row>
    <row r="10" spans="1:9">
      <c r="A10" s="12"/>
      <c r="B10" s="12"/>
      <c r="C10" s="12"/>
      <c r="E10" s="14"/>
      <c r="F10" s="14"/>
      <c r="G10" s="14"/>
      <c r="H10" s="14"/>
      <c r="I10" s="14"/>
    </row>
    <row r="11" spans="1:3">
      <c r="A11" s="12"/>
      <c r="B11" s="12"/>
      <c r="C11" s="12"/>
    </row>
    <row r="12" spans="1:3">
      <c r="A12" s="12"/>
      <c r="B12" s="12"/>
      <c r="C12" s="12"/>
    </row>
    <row r="13" spans="1:3">
      <c r="A13" s="12"/>
      <c r="B13" s="12"/>
      <c r="C13" s="12"/>
    </row>
    <row r="14" spans="1:3">
      <c r="A14" s="12"/>
      <c r="B14" s="12"/>
      <c r="C14" s="12"/>
    </row>
    <row r="15" spans="1:3">
      <c r="A15" s="12"/>
      <c r="B15" s="12"/>
      <c r="C15" s="12"/>
    </row>
    <row r="16" spans="1:3">
      <c r="A16" s="12"/>
      <c r="B16" s="12"/>
      <c r="C16" s="12"/>
    </row>
    <row r="17" spans="1:3">
      <c r="A17" s="12"/>
      <c r="B17" s="12"/>
      <c r="C17" s="12"/>
    </row>
    <row r="18" spans="1:3">
      <c r="A18" s="12"/>
      <c r="B18" s="12"/>
      <c r="C18" s="12"/>
    </row>
    <row r="19" spans="1:3">
      <c r="A19" s="12"/>
      <c r="B19" s="12"/>
      <c r="C19" s="12"/>
    </row>
    <row r="20" spans="1:3">
      <c r="A20" s="12"/>
      <c r="B20" s="12"/>
      <c r="C20" s="12"/>
    </row>
    <row r="21" spans="1:3">
      <c r="A21" s="12"/>
      <c r="B21" s="12"/>
      <c r="C21" s="12"/>
    </row>
    <row r="22" spans="1:3">
      <c r="A22" s="12"/>
      <c r="B22" s="12"/>
      <c r="C22" s="12"/>
    </row>
  </sheetData>
  <mergeCells count="1">
    <mergeCell ref="E8:I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2" workbookViewId="0">
      <selection activeCell="A1" sqref="A1:B22"/>
    </sheetView>
  </sheetViews>
  <sheetFormatPr defaultColWidth="9.14285714285714" defaultRowHeight="15" outlineLevelCol="4"/>
  <cols>
    <col min="2" max="2" width="12"/>
    <col min="4" max="4" width="10.7142857142857"/>
  </cols>
  <sheetData>
    <row r="1" ht="60.75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15.75" spans="1:5">
      <c r="A2" s="1">
        <v>0</v>
      </c>
      <c r="B2" s="2">
        <v>100000000</v>
      </c>
      <c r="C2" s="1"/>
      <c r="D2" s="1"/>
      <c r="E2" s="1"/>
    </row>
    <row r="3" ht="29.25" spans="1:5">
      <c r="A3" s="2">
        <v>1</v>
      </c>
      <c r="B3">
        <f t="shared" ref="B3:B22" si="0">B2+D3</f>
        <v>100800000</v>
      </c>
      <c r="C3" s="2">
        <v>0.8</v>
      </c>
      <c r="D3" s="2">
        <v>800000</v>
      </c>
      <c r="E3" s="2" t="s">
        <v>25</v>
      </c>
    </row>
    <row r="4" ht="30.75" spans="1:5">
      <c r="A4" s="2">
        <v>2</v>
      </c>
      <c r="B4">
        <f t="shared" si="0"/>
        <v>99300000</v>
      </c>
      <c r="C4" s="2">
        <v>-1.5</v>
      </c>
      <c r="D4" s="1">
        <f>-1500000</f>
        <v>-1500000</v>
      </c>
      <c r="E4" s="1" t="s">
        <v>26</v>
      </c>
    </row>
    <row r="5" ht="29.25" spans="1:5">
      <c r="A5" s="2">
        <v>3</v>
      </c>
      <c r="B5">
        <f t="shared" si="0"/>
        <v>100500000</v>
      </c>
      <c r="C5" s="2">
        <v>1.2</v>
      </c>
      <c r="D5" s="2">
        <v>1200000</v>
      </c>
      <c r="E5" s="2" t="s">
        <v>25</v>
      </c>
    </row>
    <row r="6" ht="15.75" spans="1:5">
      <c r="A6" s="2">
        <v>4</v>
      </c>
      <c r="B6">
        <f t="shared" si="0"/>
        <v>100100000</v>
      </c>
      <c r="C6" s="2">
        <v>-0.4</v>
      </c>
      <c r="D6" s="2">
        <f>-400000</f>
        <v>-400000</v>
      </c>
      <c r="E6" s="2" t="s">
        <v>26</v>
      </c>
    </row>
    <row r="7" ht="29.25" spans="1:5">
      <c r="A7" s="2">
        <v>5</v>
      </c>
      <c r="B7">
        <f t="shared" si="0"/>
        <v>100200000</v>
      </c>
      <c r="C7" s="2">
        <v>0.1</v>
      </c>
      <c r="D7" s="2">
        <v>100000</v>
      </c>
      <c r="E7" s="2" t="s">
        <v>25</v>
      </c>
    </row>
    <row r="8" ht="29.25" spans="1:5">
      <c r="A8" s="2">
        <v>6</v>
      </c>
      <c r="B8">
        <f t="shared" si="0"/>
        <v>102300000</v>
      </c>
      <c r="C8" s="2">
        <v>2.1</v>
      </c>
      <c r="D8" s="2">
        <v>2100000</v>
      </c>
      <c r="E8" s="2" t="s">
        <v>25</v>
      </c>
    </row>
    <row r="9" ht="15.75" spans="1:5">
      <c r="A9" s="2">
        <v>7</v>
      </c>
      <c r="B9">
        <f t="shared" si="0"/>
        <v>101400000</v>
      </c>
      <c r="C9" s="2">
        <v>-0.9</v>
      </c>
      <c r="D9" s="2">
        <f>-900000</f>
        <v>-900000</v>
      </c>
      <c r="E9" s="2" t="s">
        <v>26</v>
      </c>
    </row>
    <row r="10" ht="29.25" spans="1:5">
      <c r="A10" s="2">
        <v>8</v>
      </c>
      <c r="B10">
        <f t="shared" si="0"/>
        <v>101900000</v>
      </c>
      <c r="C10" s="2">
        <v>0.5</v>
      </c>
      <c r="D10" s="2">
        <v>500000</v>
      </c>
      <c r="E10" s="2" t="s">
        <v>25</v>
      </c>
    </row>
    <row r="11" ht="30.75" spans="1:5">
      <c r="A11" s="2">
        <v>9</v>
      </c>
      <c r="B11">
        <f t="shared" si="0"/>
        <v>100000000</v>
      </c>
      <c r="C11" s="2">
        <v>-1.9</v>
      </c>
      <c r="D11" s="1">
        <f>-1900000</f>
        <v>-1900000</v>
      </c>
      <c r="E11" s="1" t="s">
        <v>26</v>
      </c>
    </row>
    <row r="12" ht="29.25" spans="1:5">
      <c r="A12" s="2">
        <v>10</v>
      </c>
      <c r="B12">
        <f t="shared" si="0"/>
        <v>100200000</v>
      </c>
      <c r="C12" s="2">
        <v>0.2</v>
      </c>
      <c r="D12" s="2">
        <v>200000</v>
      </c>
      <c r="E12" s="2" t="s">
        <v>25</v>
      </c>
    </row>
    <row r="13" ht="15.75" spans="1:5">
      <c r="A13" s="2">
        <v>11</v>
      </c>
      <c r="B13">
        <f t="shared" si="0"/>
        <v>100050000</v>
      </c>
      <c r="C13" s="2">
        <v>-0.15</v>
      </c>
      <c r="D13" s="2">
        <f>-150000</f>
        <v>-150000</v>
      </c>
      <c r="E13" s="2" t="s">
        <v>26</v>
      </c>
    </row>
    <row r="14" ht="29.25" spans="1:5">
      <c r="A14" s="2">
        <v>12</v>
      </c>
      <c r="B14">
        <f t="shared" si="0"/>
        <v>101850000</v>
      </c>
      <c r="C14" s="2">
        <v>1.8</v>
      </c>
      <c r="D14" s="2">
        <v>1800000</v>
      </c>
      <c r="E14" s="2" t="s">
        <v>25</v>
      </c>
    </row>
    <row r="15" ht="29.25" spans="1:5">
      <c r="A15" s="2">
        <v>13</v>
      </c>
      <c r="B15">
        <f t="shared" si="0"/>
        <v>102450000</v>
      </c>
      <c r="C15" s="2">
        <v>0.6</v>
      </c>
      <c r="D15" s="2">
        <v>600000</v>
      </c>
      <c r="E15" s="2" t="s">
        <v>25</v>
      </c>
    </row>
    <row r="16" ht="15.75" spans="1:5">
      <c r="A16" s="2">
        <v>14</v>
      </c>
      <c r="B16">
        <f t="shared" si="0"/>
        <v>101700000</v>
      </c>
      <c r="C16" s="2">
        <v>-0.75</v>
      </c>
      <c r="D16" s="2">
        <f>-750000</f>
        <v>-750000</v>
      </c>
      <c r="E16" s="2" t="s">
        <v>26</v>
      </c>
    </row>
    <row r="17" ht="29.25" spans="1:5">
      <c r="A17" s="2">
        <v>15</v>
      </c>
      <c r="B17">
        <f t="shared" si="0"/>
        <v>102000000</v>
      </c>
      <c r="C17" s="2">
        <v>0.3</v>
      </c>
      <c r="D17" s="2">
        <v>300000</v>
      </c>
      <c r="E17" s="2" t="s">
        <v>25</v>
      </c>
    </row>
    <row r="18" ht="60.75" spans="1:5">
      <c r="A18" s="2">
        <v>16</v>
      </c>
      <c r="B18">
        <f t="shared" si="0"/>
        <v>99500000</v>
      </c>
      <c r="C18" s="1">
        <v>-2.5</v>
      </c>
      <c r="D18" s="1">
        <f>-2500000</f>
        <v>-2500000</v>
      </c>
      <c r="E18" s="1" t="s">
        <v>27</v>
      </c>
    </row>
    <row r="19" ht="29.25" spans="1:5">
      <c r="A19" s="2">
        <v>17</v>
      </c>
      <c r="B19">
        <f t="shared" si="0"/>
        <v>100900000</v>
      </c>
      <c r="C19" s="2">
        <v>1.4</v>
      </c>
      <c r="D19" s="2">
        <v>1400000</v>
      </c>
      <c r="E19" s="2" t="s">
        <v>25</v>
      </c>
    </row>
    <row r="20" ht="15.75" spans="1:5">
      <c r="A20" s="2">
        <v>18</v>
      </c>
      <c r="B20">
        <f t="shared" si="0"/>
        <v>100850000</v>
      </c>
      <c r="C20" s="2">
        <v>-0.05</v>
      </c>
      <c r="D20" s="2">
        <f>-50000</f>
        <v>-50000</v>
      </c>
      <c r="E20" s="2" t="s">
        <v>26</v>
      </c>
    </row>
    <row r="21" ht="29.25" spans="1:5">
      <c r="A21" s="2">
        <v>19</v>
      </c>
      <c r="B21">
        <f t="shared" si="0"/>
        <v>101550000</v>
      </c>
      <c r="C21" s="2">
        <v>0.7</v>
      </c>
      <c r="D21" s="2">
        <v>700000</v>
      </c>
      <c r="E21" s="2" t="s">
        <v>25</v>
      </c>
    </row>
    <row r="22" ht="29.25" spans="1:5">
      <c r="A22" s="2">
        <v>20</v>
      </c>
      <c r="B22">
        <f t="shared" si="0"/>
        <v>102550000</v>
      </c>
      <c r="C22" s="2">
        <v>1</v>
      </c>
      <c r="D22" s="2">
        <v>1000000</v>
      </c>
      <c r="E22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Historical</vt:lpstr>
      <vt:lpstr>Parametric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Tay</dc:creator>
  <cp:lastModifiedBy>google1585754815</cp:lastModifiedBy>
  <dcterms:created xsi:type="dcterms:W3CDTF">2025-11-11T09:05:00Z</dcterms:created>
  <dcterms:modified xsi:type="dcterms:W3CDTF">2025-11-11T16:54:41Z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F6BAF3B2642B49BE861726F91ADF8DBC_13</vt:lpwstr>
  </property>
  <property fmtid="{D5CDD505-2E9C-101B-9397-08002B2CF9AE}" pid="3" name="KSOProductBuildVer">
    <vt:lpwstr>1033-12.2.0.23155</vt:lpwstr>
  </property>
</Properties>
</file>