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En Tay</author>
  </authors>
  <commentList>
    <comment ref="B7" authorId="0">
      <text>
        <r>
          <rPr>
            <b/>
            <sz val="9"/>
            <rFont val="Times New Roman"/>
            <charset val="0"/>
          </rPr>
          <t>ruang-belajar:</t>
        </r>
        <r>
          <rPr>
            <sz val="9"/>
            <rFont val="Times New Roman"/>
            <charset val="0"/>
          </rPr>
          <t xml:space="preserve">
biaya instalasi di awal</t>
        </r>
      </text>
    </comment>
    <comment ref="B15" authorId="0">
      <text>
        <r>
          <rPr>
            <b/>
            <sz val="9"/>
            <rFont val="Times New Roman"/>
            <charset val="0"/>
          </rPr>
          <t>ruang-belajar:</t>
        </r>
        <r>
          <rPr>
            <sz val="9"/>
            <rFont val="Times New Roman"/>
            <charset val="0"/>
          </rPr>
          <t xml:space="preserve">
biaya instalasi dibagi umur proyek</t>
        </r>
      </text>
    </comment>
  </commentList>
</comments>
</file>

<file path=xl/sharedStrings.xml><?xml version="1.0" encoding="utf-8"?>
<sst xmlns="http://schemas.openxmlformats.org/spreadsheetml/2006/main" count="19" uniqueCount="19">
  <si>
    <t>Cost Benefit Analysis</t>
  </si>
  <si>
    <t>🚨</t>
  </si>
  <si>
    <t>kerusakan mesin utama</t>
  </si>
  <si>
    <t>Parameter</t>
  </si>
  <si>
    <t>kerugian</t>
  </si>
  <si>
    <t>likelihood</t>
  </si>
  <si>
    <t>instalasi</t>
  </si>
  <si>
    <t>likelihood setelah mitigasi</t>
  </si>
  <si>
    <t>Umur proyek (tahun)</t>
  </si>
  <si>
    <t>Maintenance per tahun</t>
  </si>
  <si>
    <t>EMV sebelum mitigasi</t>
  </si>
  <si>
    <t>Cost</t>
  </si>
  <si>
    <t>amotisasi</t>
  </si>
  <si>
    <t>Biaya per tahun</t>
  </si>
  <si>
    <t>Benefit</t>
  </si>
  <si>
    <t>EMV setelah mitigasi</t>
  </si>
  <si>
    <t>Net Benefit</t>
  </si>
  <si>
    <t>Benefit per tahun</t>
  </si>
  <si>
    <t>Interpretasi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</si>
</sst>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8" fontId="0" fillId="2" borderId="0" xfId="1" applyNumberFormat="1" applyFill="1">
      <alignment vertical="center"/>
    </xf>
    <xf numFmtId="9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9" workbookViewId="0">
      <selection activeCell="J14" sqref="J14"/>
    </sheetView>
  </sheetViews>
  <sheetFormatPr defaultColWidth="9.14285714285714" defaultRowHeight="15" outlineLevelCol="4"/>
  <cols>
    <col min="1" max="1" width="4.71428571428571" customWidth="1"/>
    <col min="2" max="2" width="24.2857142857143" customWidth="1"/>
    <col min="3" max="3" width="14.4285714285714" customWidth="1"/>
  </cols>
  <sheetData>
    <row r="1" ht="26.25" spans="1:1">
      <c r="A1" s="1" t="s">
        <v>0</v>
      </c>
    </row>
    <row r="2" spans="1:2">
      <c r="A2" t="s">
        <v>1</v>
      </c>
      <c r="B2" s="2" t="s">
        <v>2</v>
      </c>
    </row>
    <row r="3" spans="2:2">
      <c r="B3" s="2"/>
    </row>
    <row r="4" spans="1:2">
      <c r="A4" s="3" t="s">
        <v>3</v>
      </c>
      <c r="B4" s="2"/>
    </row>
    <row r="5" spans="2:3">
      <c r="B5" t="s">
        <v>4</v>
      </c>
      <c r="C5" s="4">
        <v>500000000</v>
      </c>
    </row>
    <row r="6" spans="2:3">
      <c r="B6" t="s">
        <v>5</v>
      </c>
      <c r="C6" s="5">
        <v>0.2</v>
      </c>
    </row>
    <row r="7" spans="2:3">
      <c r="B7" t="s">
        <v>6</v>
      </c>
      <c r="C7" s="4">
        <v>0</v>
      </c>
    </row>
    <row r="8" spans="2:3">
      <c r="B8" t="s">
        <v>7</v>
      </c>
      <c r="C8" s="5">
        <v>0.05</v>
      </c>
    </row>
    <row r="9" spans="2:3">
      <c r="B9" t="s">
        <v>8</v>
      </c>
      <c r="C9" s="6">
        <v>5</v>
      </c>
    </row>
    <row r="10" spans="2:3">
      <c r="B10" t="s">
        <v>9</v>
      </c>
      <c r="C10" s="6">
        <v>60000000</v>
      </c>
    </row>
    <row r="11" spans="2:3">
      <c r="B11" t="s">
        <v>10</v>
      </c>
      <c r="C11" s="7">
        <v>100000000</v>
      </c>
    </row>
    <row r="13" spans="3:3">
      <c r="C13" s="8"/>
    </row>
    <row r="14" spans="1:1">
      <c r="A14" s="3" t="s">
        <v>11</v>
      </c>
    </row>
    <row r="15" spans="2:3">
      <c r="B15" t="s">
        <v>12</v>
      </c>
      <c r="C15" s="7">
        <f>C7/C9</f>
        <v>0</v>
      </c>
    </row>
    <row r="16" spans="2:3">
      <c r="B16" t="s">
        <v>13</v>
      </c>
      <c r="C16" s="7">
        <f>+C15+C10</f>
        <v>60000000</v>
      </c>
    </row>
    <row r="19" spans="1:1">
      <c r="A19" s="3" t="s">
        <v>14</v>
      </c>
    </row>
    <row r="20" spans="2:3">
      <c r="B20" t="s">
        <v>15</v>
      </c>
      <c r="C20" s="7">
        <f>C5*C8+C16</f>
        <v>85000000</v>
      </c>
    </row>
    <row r="21" spans="3:3">
      <c r="C21" s="7"/>
    </row>
    <row r="22" spans="1:1">
      <c r="A22" s="3" t="s">
        <v>16</v>
      </c>
    </row>
    <row r="23" spans="2:3">
      <c r="B23" t="s">
        <v>17</v>
      </c>
      <c r="C23" s="7">
        <f>C11-C20</f>
        <v>15000000</v>
      </c>
    </row>
    <row r="24" spans="3:3">
      <c r="C24" s="7"/>
    </row>
    <row r="25" spans="1:1">
      <c r="A25" s="3" t="s">
        <v>18</v>
      </c>
    </row>
    <row r="26" spans="2:5">
      <c r="B26" s="9" t="str">
        <f>IF(C23&gt;=0,"👍 benefit&gt;cost, tindakan mitigasi layak direkomendasikan","👎 benefit &lt; cost, tindakan mitigasi tidak direkomendasikan")</f>
        <v>👍 benefit&gt;cost, tindakan mitigasi layak direkomendasikan</v>
      </c>
      <c r="C26" s="10"/>
      <c r="D26" s="10"/>
      <c r="E26" s="10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Tay</dc:creator>
  <cp:lastModifiedBy>google1585754815</cp:lastModifiedBy>
  <dcterms:created xsi:type="dcterms:W3CDTF">2025-12-16T09:25:14Z</dcterms:created>
  <dcterms:modified xsi:type="dcterms:W3CDTF">2025-12-16T09:49:51Z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80D6C6E6A97E4B61A0569C11A3BF6E93_11</vt:lpwstr>
  </property>
  <property fmtid="{D5CDD505-2E9C-101B-9397-08002B2CF9AE}" pid="3" name="KSOProductBuildVer">
    <vt:lpwstr>1033-12.2.0.23155</vt:lpwstr>
  </property>
</Properties>
</file>